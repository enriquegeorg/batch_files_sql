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enrique.erbs\Desktop\Clientes\Grupo Mendes\"/>
    </mc:Choice>
  </mc:AlternateContent>
  <xr:revisionPtr revIDLastSave="0" documentId="13_ncr:1_{E179B9AC-AF7C-4CDE-8C20-9B349B40EB1B}" xr6:coauthVersionLast="36" xr6:coauthVersionMax="36" xr10:uidLastSave="{00000000-0000-0000-0000-000000000000}"/>
  <bookViews>
    <workbookView xWindow="0" yWindow="0" windowWidth="20490" windowHeight="7755" xr2:uid="{00000000-000D-0000-FFFF-FFFF00000000}"/>
  </bookViews>
  <sheets>
    <sheet name="Planilha1" sheetId="4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8" i="4" l="1"/>
  <c r="D44" i="4"/>
  <c r="B77" i="4"/>
  <c r="B76" i="4"/>
  <c r="B75" i="4"/>
  <c r="B74" i="4"/>
  <c r="B73" i="4"/>
  <c r="B72" i="4"/>
  <c r="B71" i="4"/>
  <c r="B70" i="4"/>
  <c r="A80" i="4"/>
  <c r="A2" i="4" l="1"/>
  <c r="A3" i="4"/>
  <c r="A4" i="4"/>
  <c r="A5" i="4"/>
  <c r="A6" i="4"/>
  <c r="A7" i="4"/>
  <c r="A8" i="4"/>
  <c r="A9" i="4"/>
</calcChain>
</file>

<file path=xl/sharedStrings.xml><?xml version="1.0" encoding="utf-8"?>
<sst xmlns="http://schemas.openxmlformats.org/spreadsheetml/2006/main" count="25" uniqueCount="25">
  <si>
    <t>Cód no BD</t>
  </si>
  <si>
    <t>Conexão 1</t>
  </si>
  <si>
    <t>Conexão 2</t>
  </si>
  <si>
    <t>Conexão 3</t>
  </si>
  <si>
    <t>Conexão 4</t>
  </si>
  <si>
    <t>Conexão 5</t>
  </si>
  <si>
    <t>Conexão 6</t>
  </si>
  <si>
    <t>Conexão 7</t>
  </si>
  <si>
    <t>Conexão 8</t>
  </si>
  <si>
    <t>Conexões</t>
  </si>
  <si>
    <t>UPDATE CONEXAO 1</t>
  </si>
  <si>
    <t>UPDATE CONEXAO 2</t>
  </si>
  <si>
    <t>UPDATE CONEXAO 3</t>
  </si>
  <si>
    <t>UPDATE CONEXAO 4</t>
  </si>
  <si>
    <t>UPDATE CONEXAO 5</t>
  </si>
  <si>
    <t>UPDATE CONEXAO 6</t>
  </si>
  <si>
    <t>UPDATE CONEXAO 7</t>
  </si>
  <si>
    <t>UPDATE CONEXAO 8</t>
  </si>
  <si>
    <t>UPDATES UNIFICADOS</t>
  </si>
  <si>
    <t>UPDATE TDFE_ODBC_ESTABELECIMENTO SET ID_ODBC_CONNECTION_STRING=</t>
  </si>
  <si>
    <t>DADOS FIXOS DA QUERY</t>
  </si>
  <si>
    <t>Empresa</t>
  </si>
  <si>
    <t>Cód</t>
  </si>
  <si>
    <t>Nome da empresa</t>
  </si>
  <si>
    <t xml:space="preserve"> FROM TDFE_ODBC_ESTABELECIMENTO INNER JOIN TDFE_ODBC ON(TDFE_ODBC.COD_ODBC=TDFE_ODBC_ESTABELECIMENTO.COD_ODBC AND TDFE_ODBC.COD_EMPRESA=TDFE_ODBC_ESTABELECIMENTO.COD_EMPRESA) WHERE QUERY LIKE '%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</si>
</sst>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NumberFormat="1" applyProtection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2</xdr:col>
          <xdr:colOff>0</xdr:colOff>
          <xdr:row>16</xdr:row>
          <xdr:rowOff>152400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DC05BB-94CB-470E-AF56-E71B26C59EC1}" name="Tabela4" displayName="Tabela4" ref="D1:D44" totalsRowShown="0">
  <autoFilter ref="D1:D44" xr:uid="{327B6250-2AF5-434E-95CC-DFBBFF9F1C86}"/>
  <tableColumns count="1">
    <tableColumn id="1" xr3:uid="{30BF542F-4813-426C-9574-94B47F2BCCAD}" name="Conexão 1" dataDxfId="1">
      <calculatedColumnFormula>""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97FA64-08E3-4E4A-8F09-6E3169C13E06}" name="Tabela46" displayName="Tabela46" ref="E1:E44" totalsRowShown="0">
  <autoFilter ref="E1:E44" xr:uid="{0D64809E-939C-4488-8621-35212F0DC05A}"/>
  <tableColumns count="1">
    <tableColumn id="1" xr3:uid="{A45C6955-CF65-4679-A9FF-58D08D825A3F}" name="Conexão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D326481-2593-4F62-8258-8A91B0CA4C06}" name="Tabela47" displayName="Tabela47" ref="F1:F44" totalsRowShown="0">
  <autoFilter ref="F1:F44" xr:uid="{77467C7B-BF6A-4C4E-BE42-533480F101F6}"/>
  <tableColumns count="1">
    <tableColumn id="1" xr3:uid="{7ED344B9-1AB4-4472-AF33-8664F7A6CADE}" name="Conexão 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8FD2D44-5BE6-42BD-8EE9-8C294EDEBEA9}" name="Tabela48" displayName="Tabela48" ref="G1:G44" totalsRowShown="0">
  <autoFilter ref="G1:G44" xr:uid="{F2BBA57A-4793-4B37-8533-A45E00C22DC3}"/>
  <tableColumns count="1">
    <tableColumn id="1" xr3:uid="{59BB5E42-0338-4B0C-9B5B-33E3B0D69661}" name="Conexão 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2455680-8549-4212-85F7-420AD8D9D1B0}" name="Tabela49" displayName="Tabela49" ref="H1:H44" totalsRowShown="0">
  <autoFilter ref="H1:H44" xr:uid="{EE192142-DFB6-4904-AACE-E92B05DB5E64}"/>
  <tableColumns count="1">
    <tableColumn id="1" xr3:uid="{76BADC67-E009-49AB-B7CA-D64A6C27D52D}" name="Conexão 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F32A1C-4EF0-480C-9BFC-6ED509B5928D}" name="Tabela410" displayName="Tabela410" ref="I1:I44" totalsRowShown="0">
  <autoFilter ref="I1:I44" xr:uid="{08B4F1B7-B11B-48E9-83D1-6522C29C6F92}"/>
  <tableColumns count="1">
    <tableColumn id="1" xr3:uid="{1E0E90B0-60E0-40EA-BE24-FEAE47A4D581}" name="Conexão 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FDF48BE-53CC-4399-91F6-A46EEE6F9B02}" name="Tabela411" displayName="Tabela411" ref="J1:J44" totalsRowShown="0">
  <autoFilter ref="J1:J44" xr:uid="{325467BD-904F-4692-B5A5-DE7B6D34DB9B}"/>
  <tableColumns count="1">
    <tableColumn id="1" xr3:uid="{527D2244-C06F-485E-A349-6E02534FB92C}" name="Conexão 7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401C48-7C67-4887-BF0B-1FD64D497DFF}" name="Tabela412" displayName="Tabela412" ref="K1:K44" totalsRowShown="0">
  <autoFilter ref="K1:K44" xr:uid="{C4BF066C-12AD-432F-B097-A9502D06227E}"/>
  <tableColumns count="1">
    <tableColumn id="1" xr3:uid="{B2530A20-1BA1-44E0-BE55-EC27B4559312}" name="Conexão 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4D17995-CD0A-4EBE-B3FE-7319CA13C654}" name="Tabela13" displayName="Tabela13" ref="A1:B9" totalsRowShown="0">
  <autoFilter ref="A1:B9" xr:uid="{B4D8D183-F9A6-437E-B621-2F8603C5E406}"/>
  <tableColumns count="2">
    <tableColumn id="1" xr3:uid="{F9A44BCA-F1C8-47D9-B9DB-6F026AFB7C42}" name="Conexões" dataDxfId="0">
      <calculatedColumnFormula>Tabela4[[#Headers],[Conexão 1]]</calculatedColumnFormula>
    </tableColumn>
    <tableColumn id="2" xr3:uid="{8C4BD0EF-F631-465D-AE66-100C56F9D420}" name="Cód no BD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68861ED-0FD1-4896-A6EA-E01CFFA7CB79}" name="Tabela14" displayName="Tabela14" ref="A12:B13" totalsRowShown="0">
  <autoFilter ref="A12:B13" xr:uid="{921A993F-8099-403F-AD5C-61225714770E}"/>
  <tableColumns count="2">
    <tableColumn id="1" xr3:uid="{98D6A217-B007-4F38-890F-F001EF531F4E}" name="Empresa"/>
    <tableColumn id="2" xr3:uid="{2B5081B1-20C0-4DB9-9259-5F244B718D95}" name="Có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Relationship Id="rId1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0A6FC-43B6-43F0-881B-2EA63332C80E}">
  <sheetPr codeName="Planilha4"/>
  <dimension ref="A1:K80"/>
  <sheetViews>
    <sheetView tabSelected="1" topLeftCell="A7" workbookViewId="0">
      <selection activeCell="A26" sqref="A26"/>
    </sheetView>
  </sheetViews>
  <sheetFormatPr defaultColWidth="10.42578125" defaultRowHeight="15" x14ac:dyDescent="0.25"/>
  <cols>
    <col min="1" max="1" width="26.28515625" customWidth="1"/>
    <col min="2" max="2" width="13.42578125" customWidth="1"/>
    <col min="3" max="3" width="14.140625" customWidth="1"/>
    <col min="4" max="4" width="26.42578125" customWidth="1"/>
    <col min="5" max="5" width="27.42578125" customWidth="1"/>
    <col min="6" max="6" width="27" customWidth="1"/>
    <col min="7" max="7" width="26.28515625" customWidth="1"/>
    <col min="8" max="8" width="37.28515625" customWidth="1"/>
    <col min="9" max="9" width="31.7109375" customWidth="1"/>
    <col min="10" max="10" width="28.5703125" customWidth="1"/>
    <col min="11" max="11" width="26.5703125" customWidth="1"/>
    <col min="12" max="12" width="12.85546875" customWidth="1"/>
    <col min="14" max="14" width="11.28515625" customWidth="1"/>
    <col min="16" max="16" width="11.5703125" customWidth="1"/>
    <col min="18" max="18" width="12.85546875" customWidth="1"/>
    <col min="20" max="20" width="37.28515625" customWidth="1"/>
  </cols>
  <sheetData>
    <row r="1" spans="1:11" x14ac:dyDescent="0.25">
      <c r="A1" t="s">
        <v>9</v>
      </c>
      <c r="B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2" spans="1:11" x14ac:dyDescent="0.25">
      <c r="A2" t="str">
        <f>Tabela4[[#Headers],[Conexão 1]]</f>
        <v>Conexão 1</v>
      </c>
      <c r="D2" s="1"/>
    </row>
    <row r="3" spans="1:11" x14ac:dyDescent="0.25">
      <c r="A3" t="str">
        <f>Tabela46[[#Headers],[Conexão 2]]</f>
        <v>Conexão 2</v>
      </c>
    </row>
    <row r="4" spans="1:11" x14ac:dyDescent="0.25">
      <c r="A4" t="str">
        <f>Tabela47[[#Headers],[Conexão 3]]</f>
        <v>Conexão 3</v>
      </c>
    </row>
    <row r="5" spans="1:11" x14ac:dyDescent="0.25">
      <c r="A5" t="str">
        <f>Tabela48[[#Headers],[Conexão 4]]</f>
        <v>Conexão 4</v>
      </c>
    </row>
    <row r="6" spans="1:11" x14ac:dyDescent="0.25">
      <c r="A6" s="1" t="str">
        <f>Tabela49[[#Headers],[Conexão 5]]</f>
        <v>Conexão 5</v>
      </c>
    </row>
    <row r="7" spans="1:11" x14ac:dyDescent="0.25">
      <c r="A7" t="str">
        <f>Tabela410[[#Headers],[Conexão 6]]</f>
        <v>Conexão 6</v>
      </c>
    </row>
    <row r="8" spans="1:11" x14ac:dyDescent="0.25">
      <c r="A8" t="str">
        <f>Tabela411[[#Headers],[Conexão 7]]</f>
        <v>Conexão 7</v>
      </c>
    </row>
    <row r="9" spans="1:11" x14ac:dyDescent="0.25">
      <c r="A9" t="str">
        <f>Tabela412[[#Headers],[Conexão 8]]</f>
        <v>Conexão 8</v>
      </c>
    </row>
    <row r="12" spans="1:11" x14ac:dyDescent="0.25">
      <c r="A12" t="s">
        <v>21</v>
      </c>
      <c r="B12" t="s">
        <v>22</v>
      </c>
    </row>
    <row r="13" spans="1:11" x14ac:dyDescent="0.25">
      <c r="A13" t="s">
        <v>23</v>
      </c>
      <c r="B13">
        <v>1</v>
      </c>
    </row>
    <row r="44" spans="4:4" x14ac:dyDescent="0.25">
      <c r="D44" t="str">
        <f>""</f>
        <v/>
      </c>
    </row>
    <row r="65" spans="1:2" x14ac:dyDescent="0.25">
      <c r="A65" t="s">
        <v>20</v>
      </c>
    </row>
    <row r="66" spans="1:2" x14ac:dyDescent="0.25">
      <c r="A66" t="s">
        <v>19</v>
      </c>
    </row>
    <row r="67" spans="1:2" x14ac:dyDescent="0.25">
      <c r="A67" t="s">
        <v>24</v>
      </c>
    </row>
    <row r="68" spans="1:2" x14ac:dyDescent="0.25">
      <c r="A68" t="str">
        <f>_xlfn.CONCAT("%' AND TDFE_ODBC_ESTABELECIMENTO.COD_EMPRESA=",Tabela14[Cód])</f>
        <v>%' AND TDFE_ODBC_ESTABELECIMENTO.COD_EMPRESA=1</v>
      </c>
    </row>
    <row r="70" spans="1:2" x14ac:dyDescent="0.25">
      <c r="A70" t="s">
        <v>10</v>
      </c>
      <c r="B70" t="str">
        <f>_xlfn.CONCAT(A66,B2,A67,concatenatecells(D3:D44),A68)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1" spans="1:2" x14ac:dyDescent="0.25">
      <c r="A71" t="s">
        <v>11</v>
      </c>
      <c r="B71" s="1" t="str">
        <f>_xlfn.CONCAT(A66,B3,A67,concatenatecells(E3:E44),A68)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2" spans="1:2" x14ac:dyDescent="0.25">
      <c r="A72" t="s">
        <v>12</v>
      </c>
      <c r="B72" s="2" t="str">
        <f>_xlfn.CONCAT(A66,B4,A67,(concatenatecells(F3:F44)),A68)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3" spans="1:2" x14ac:dyDescent="0.25">
      <c r="A73" t="s">
        <v>13</v>
      </c>
      <c r="B73" t="str">
        <f>_xlfn.CONCAT(A66,B5,A67,concatenatecells(G3:G44),A68)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4" spans="1:2" x14ac:dyDescent="0.25">
      <c r="A74" t="s">
        <v>14</v>
      </c>
      <c r="B74" t="str">
        <f>_xlfn.CONCAT(A66,B6,A67,concatenatecells(H3:H44),A68)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5" spans="1:2" x14ac:dyDescent="0.25">
      <c r="A75" t="s">
        <v>15</v>
      </c>
      <c r="B75" t="str">
        <f>_xlfn.CONCAT(A66,B7,A67,concatenatecells(I3:I44),A68)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6" spans="1:2" x14ac:dyDescent="0.25">
      <c r="A76" t="s">
        <v>16</v>
      </c>
      <c r="B76" t="str">
        <f>_xlfn.CONCAT(A66,B8,A67,concatenatecells(J3:J44),A68)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7" spans="1:2" x14ac:dyDescent="0.25">
      <c r="A77" t="s">
        <v>17</v>
      </c>
      <c r="B77" t="str">
        <f>_xlfn.CONCAT(A66,B9,A67,concatenatecells(K3:K44),A68)</f>
        <v>UPDATE TDFE_ODBC_ESTABELECIMENTO SET ID_ODBC_CONNECTION_STRING= FROM TDFE_ODBC_ESTABELECIMENTO INNER JOIN TDFE_ODBC ON(TDFE_ODBC.COD_ODBC=TDFE_ODBC_ESTABELECIMENTO.COD_ODBC AND TDFE_ODBC.COD_EMPRESA=TDFE_ODBC_ESTABELECIMENTO.COD_EMPRESA) WHERE QUERY LIKE '%%' AND TDFE_ODBC_ESTABELECIMENTO.COD_EMPRESA=1</v>
      </c>
    </row>
    <row r="79" spans="1:2" x14ac:dyDescent="0.25">
      <c r="A79" t="s">
        <v>18</v>
      </c>
    </row>
    <row r="80" spans="1:2" x14ac:dyDescent="0.25">
      <c r="A80" t="str">
        <f>Concatqueryes(B70:B77)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Fill="0" autoLine="0" r:id="rId5">
            <anchor moveWithCells="1">
              <from>
                <xdr:col>0</xdr:col>
                <xdr:colOff>0</xdr:colOff>
                <xdr:row>14</xdr:row>
                <xdr:rowOff>85725</xdr:rowOff>
              </from>
              <to>
                <xdr:col>2</xdr:col>
                <xdr:colOff>0</xdr:colOff>
                <xdr:row>16</xdr:row>
                <xdr:rowOff>152400</xdr:rowOff>
              </to>
            </anchor>
          </controlPr>
        </control>
      </mc:Choice>
      <mc:Fallback>
        <control shapeId="4098" r:id="rId4" name="Commandbutton1"/>
      </mc:Fallback>
    </mc:AlternateContent>
  </controls>
  <tableParts count="10"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Quirius</dc:creator>
  <cp:lastModifiedBy>Enrique Georg Erbs</cp:lastModifiedBy>
  <dcterms:created xsi:type="dcterms:W3CDTF">2018-09-21T13:59:20Z</dcterms:created>
  <dcterms:modified xsi:type="dcterms:W3CDTF">2018-09-24T18:41:28Z</dcterms:modified>
</cp:coreProperties>
</file>